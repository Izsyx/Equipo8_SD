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sponibilidad Compues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Practica 2 - Disponibilidad Compuesta del Proyecto (Equipo 8)</t>
        </is>
      </c>
    </row>
    <row r="3">
      <c r="A3" t="inlineStr">
        <is>
          <t>Componente</t>
        </is>
      </c>
      <c r="B3" t="inlineStr">
        <is>
          <t>Servicio AWS</t>
        </is>
      </c>
      <c r="C3" t="inlineStr">
        <is>
          <t>SLA Individual</t>
        </is>
      </c>
      <c r="D3" t="inlineStr">
        <is>
          <t>SLA Redundante</t>
        </is>
      </c>
      <c r="E3" t="inlineStr">
        <is>
          <t>Tipo Conexion</t>
        </is>
      </c>
      <c r="F3" t="inlineStr">
        <is>
          <t>Costo Extra Redundancia (USD/mes)</t>
        </is>
      </c>
    </row>
    <row r="4">
      <c r="A4" t="inlineStr">
        <is>
          <t>DNS</t>
        </is>
      </c>
      <c r="B4" t="inlineStr">
        <is>
          <t>AWS Route 53</t>
        </is>
      </c>
      <c r="C4">
        <v>1.0000</v>
      </c>
      <c r="D4">
        <v>1.0000</v>
      </c>
      <c r="E4" t="inlineStr">
        <is>
          <t>Serie</t>
        </is>
      </c>
      <c r="F4">
        <v>0.00</v>
      </c>
    </row>
    <row r="5">
      <c r="A5" t="inlineStr">
        <is>
          <t>Balanceador</t>
        </is>
      </c>
      <c r="B5" t="inlineStr">
        <is>
          <t>Application Load Balancer (ALB)</t>
        </is>
      </c>
      <c r="C5">
        <v>0.9999</v>
      </c>
      <c r="D5">
        <v>0.9999</v>
      </c>
      <c r="E5" t="inlineStr">
        <is>
          <t>Serie</t>
        </is>
      </c>
      <c r="F5">
        <v>0.00</v>
      </c>
    </row>
    <row r="6">
      <c r="A6" t="inlineStr">
        <is>
          <t>Computo</t>
        </is>
      </c>
      <c r="B6" t="inlineStr">
        <is>
          <t>Amazon EC2 Linux (t4g.small)</t>
        </is>
      </c>
      <c r="C6">
        <v>0.9950</v>
      </c>
      <c r="D6">
        <v>0.9999</v>
      </c>
      <c r="E6" t="inlineStr">
        <is>
          <t>Serie / Multi-AZ</t>
        </is>
      </c>
      <c r="F6">
        <v>16.00</v>
      </c>
    </row>
    <row r="7">
      <c r="A7" t="inlineStr">
        <is>
          <t>Base de Datos</t>
        </is>
      </c>
      <c r="B7" t="inlineStr">
        <is>
          <t>Amazon RDS PostgreSQL (db.t4g.micro)</t>
        </is>
      </c>
      <c r="C7">
        <v>0.9950</v>
      </c>
      <c r="D7">
        <v>0.9995</v>
      </c>
      <c r="E7" t="inlineStr">
        <is>
          <t>Serie / Multi-AZ</t>
        </is>
      </c>
      <c r="F7">
        <v>14.83</v>
      </c>
    </row>
    <row r="8">
      <c r="A8" t="inlineStr">
        <is>
          <t>Almacenamiento Objetos</t>
        </is>
      </c>
      <c r="B8" t="inlineStr">
        <is>
          <t>Amazon S3 Standard</t>
        </is>
      </c>
      <c r="C8">
        <v>0.9990</v>
      </c>
      <c r="D8">
        <v>0.9990</v>
      </c>
      <c r="E8" t="inlineStr">
        <is>
          <t>Serie</t>
        </is>
      </c>
      <c r="F8">
        <v>0.00</v>
      </c>
    </row>
    <row r="10">
      <c r="A10" t="inlineStr">
        <is>
          <t>Disponibilidad Compuesta Sin Redundancia</t>
        </is>
      </c>
      <c r="C10">
        <f>PRODUCT(C4:C8)</f>
        <v>0.988936</v>
      </c>
    </row>
    <row r="11">
      <c r="A11" t="inlineStr">
        <is>
          <t>Disponibilidad Compuesta Con Redundancia</t>
        </is>
      </c>
      <c r="D11">
        <f>PRODUCT(D4:D8)</f>
        <v>0.998301</v>
      </c>
      <c r="F11">
        <f>SUM(F4:F8)</f>
        <v>30.83</v>
      </c>
    </row>
    <row r="13">
      <c r="A13" t="inlineStr">
        <is>
          <t>Minutos al Mes Sin Redundancia (30 dias = 43200 min)</t>
        </is>
      </c>
      <c r="C13">
        <f>(1-C10)*43200</f>
        <v>477.96</v>
      </c>
    </row>
    <row r="14">
      <c r="A14" t="inlineStr">
        <is>
          <t>Minutos al Mes Con Redundancia (30 dias = 43200 min)</t>
        </is>
      </c>
      <c r="D14">
        <f>(1-D11)*43200</f>
        <v>73.41</v>
      </c>
    </row>
    <row r="16">
      <c r="A16" t="inlineStr">
        <is>
          <t>SLO Interno Propuesto</t>
        </is>
      </c>
      <c r="C16">
        <v>0.9950</v>
      </c>
      <c r="D16" t="inlineStr">
        <is>
          <t>Presupuesto de Error: 216 min/mes</t>
        </is>
      </c>
    </row>
    <row r="17">
      <c r="A17" t="inlineStr">
        <is>
          <t>SLA Contractual Ofrecido</t>
        </is>
      </c>
      <c r="C17">
        <v>0.9900</v>
      </c>
      <c r="D17" t="inlineStr">
        <is>
          <t>Margen de Inactividad: 432 min/mes (Colchon: 216 min)</t>
        </is>
      </c>
    </row>
  </sheetData>
</worksheet>
</file>